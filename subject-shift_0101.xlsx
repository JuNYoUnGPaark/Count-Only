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130" documentId="8_{E9E26B42-BB6E-4244-AE55-341698D6BBFB}" xr6:coauthVersionLast="47" xr6:coauthVersionMax="47" xr10:uidLastSave="{3DCD398B-7C35-4975-988C-D655293F30F1}"/>
  <bookViews>
    <workbookView xWindow="-105" yWindow="0" windowWidth="19410" windowHeight="20985" xr2:uid="{A784EEFC-260D-48B6-BFDF-3AC5C757D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G87" i="1"/>
  <c r="G73" i="1"/>
  <c r="G59" i="1"/>
  <c r="G45" i="1"/>
  <c r="G31" i="1"/>
  <c r="E8" i="1"/>
  <c r="E9" i="1"/>
  <c r="E10" i="1"/>
  <c r="E11" i="1"/>
  <c r="E12" i="1"/>
  <c r="E13" i="1"/>
  <c r="E14" i="1"/>
  <c r="E15" i="1"/>
  <c r="E16" i="1"/>
  <c r="E7" i="1"/>
  <c r="G17" i="1"/>
  <c r="F8" i="1"/>
  <c r="F9" i="1"/>
  <c r="F10" i="1"/>
  <c r="F11" i="1"/>
  <c r="F12" i="1"/>
  <c r="F13" i="1"/>
  <c r="F14" i="1"/>
  <c r="F15" i="1"/>
  <c r="F16" i="1"/>
  <c r="F7" i="1"/>
  <c r="D86" i="1"/>
  <c r="D85" i="1"/>
  <c r="D84" i="1"/>
  <c r="D83" i="1"/>
  <c r="D82" i="1"/>
  <c r="D81" i="1"/>
  <c r="D80" i="1"/>
  <c r="D79" i="1"/>
  <c r="D78" i="1"/>
  <c r="D77" i="1"/>
  <c r="D72" i="1"/>
  <c r="D71" i="1"/>
  <c r="D70" i="1"/>
  <c r="D69" i="1"/>
  <c r="D68" i="1"/>
  <c r="D67" i="1"/>
  <c r="D66" i="1"/>
  <c r="D65" i="1"/>
  <c r="D64" i="1"/>
  <c r="D63" i="1"/>
  <c r="D58" i="1"/>
  <c r="D57" i="1"/>
  <c r="D56" i="1"/>
  <c r="D55" i="1"/>
  <c r="D54" i="1"/>
  <c r="D53" i="1"/>
  <c r="D52" i="1"/>
  <c r="D51" i="1"/>
  <c r="D50" i="1"/>
  <c r="D49" i="1"/>
  <c r="D44" i="1"/>
  <c r="D43" i="1"/>
  <c r="D42" i="1"/>
  <c r="D41" i="1"/>
  <c r="D40" i="1"/>
  <c r="D39" i="1"/>
  <c r="D38" i="1"/>
  <c r="D37" i="1"/>
  <c r="D36" i="1"/>
  <c r="D35" i="1"/>
  <c r="D30" i="1"/>
  <c r="D29" i="1"/>
  <c r="D28" i="1"/>
  <c r="D27" i="1"/>
  <c r="D26" i="1"/>
  <c r="D25" i="1"/>
  <c r="D24" i="1"/>
  <c r="D23" i="1"/>
  <c r="D22" i="1"/>
  <c r="D21" i="1"/>
  <c r="D16" i="1"/>
  <c r="D15" i="1"/>
  <c r="D14" i="1"/>
  <c r="D13" i="1"/>
  <c r="D12" i="1"/>
  <c r="D11" i="1"/>
  <c r="D10" i="1"/>
  <c r="D9" i="1"/>
  <c r="D8" i="1"/>
  <c r="D7" i="1"/>
  <c r="C3" i="1" l="1"/>
  <c r="A3" i="1"/>
  <c r="E3" i="1"/>
  <c r="E31" i="1"/>
  <c r="E73" i="1"/>
  <c r="E17" i="1"/>
  <c r="E59" i="1"/>
  <c r="E45" i="1"/>
  <c r="E87" i="1"/>
  <c r="F17" i="1"/>
  <c r="D17" i="1"/>
  <c r="F45" i="1"/>
  <c r="F87" i="1"/>
  <c r="F31" i="1"/>
  <c r="F73" i="1"/>
  <c r="F59" i="1"/>
  <c r="D73" i="1"/>
  <c r="D87" i="1"/>
  <c r="D59" i="1"/>
  <c r="D31" i="1"/>
  <c r="D45" i="1"/>
</calcChain>
</file>

<file path=xl/sharedStrings.xml><?xml version="1.0" encoding="utf-8"?>
<sst xmlns="http://schemas.openxmlformats.org/spreadsheetml/2006/main" count="52" uniqueCount="14">
  <si>
    <t>Frontal elevation of arms</t>
    <phoneticPr fontId="1" type="noConversion"/>
  </si>
  <si>
    <t>Subject_ID</t>
    <phoneticPr fontId="1" type="noConversion"/>
  </si>
  <si>
    <t>Pred</t>
    <phoneticPr fontId="1" type="noConversion"/>
  </si>
  <si>
    <t>GT</t>
    <phoneticPr fontId="1" type="noConversion"/>
  </si>
  <si>
    <t>MAE</t>
    <phoneticPr fontId="1" type="noConversion"/>
  </si>
  <si>
    <t>k_hat</t>
    <phoneticPr fontId="1" type="noConversion"/>
  </si>
  <si>
    <t>Knees bending</t>
    <phoneticPr fontId="1" type="noConversion"/>
  </si>
  <si>
    <t>Waist bends forward</t>
    <phoneticPr fontId="1" type="noConversion"/>
  </si>
  <si>
    <t>Jump front and back</t>
    <phoneticPr fontId="1" type="noConversion"/>
  </si>
  <si>
    <t>Running</t>
    <phoneticPr fontId="1" type="noConversion"/>
  </si>
  <si>
    <t>Jogging</t>
    <phoneticPr fontId="1" type="noConversion"/>
  </si>
  <si>
    <t>1-1) Subject shift</t>
    <phoneticPr fontId="1" type="noConversion"/>
  </si>
  <si>
    <t>Bias</t>
    <phoneticPr fontId="1" type="noConversion"/>
  </si>
  <si>
    <t>MAPE(%)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</si>
</sst>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11"/>
      <color theme="1"/>
      <name val="Noto Serif KR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54D8-678B-4D61-8450-E719F1B55A53}">
  <dimension ref="A1:G87"/>
  <sheetViews>
    <sheetView tabSelected="1" workbookViewId="0">
      <selection activeCell="I14" sqref="I14"/>
    </sheetView>
  </sheetViews>
  <sheetFormatPr defaultRowHeight="18" x14ac:dyDescent="0.3"/>
  <cols>
    <col min="1" max="7" width="15.625" style="9" customWidth="1"/>
  </cols>
  <sheetData>
    <row r="1" spans="1:7" x14ac:dyDescent="0.3">
      <c r="A1" s="19" t="s">
        <v>11</v>
      </c>
      <c r="B1" s="20"/>
      <c r="C1" s="20"/>
      <c r="D1" s="20"/>
      <c r="E1" s="20"/>
      <c r="F1" s="20"/>
      <c r="G1" s="15"/>
    </row>
    <row r="2" spans="1:7" x14ac:dyDescent="0.3">
      <c r="A2" s="23" t="s">
        <v>4</v>
      </c>
      <c r="B2" s="23"/>
      <c r="C2" s="23" t="s">
        <v>13</v>
      </c>
      <c r="D2" s="23"/>
      <c r="E2" s="24" t="s">
        <v>12</v>
      </c>
      <c r="F2" s="25"/>
      <c r="G2" s="16"/>
    </row>
    <row r="3" spans="1:7" x14ac:dyDescent="0.3">
      <c r="A3" s="18" t="str">
        <f>TEXT( AVERAGE(D7:D16, D21:D30, D35:D44, D49:D58, D63:D72, D77:D86),"0.000")
&amp;"±"&amp;
TEXT( _xlfn.STDEV.S(D7:D16, D21:D30, D35:D44, D49:D58, D63:D72, D77:D86),"0.000")</f>
        <v>5.386±6.212</v>
      </c>
      <c r="B3" s="18"/>
      <c r="C3" s="17" t="str">
        <f>TEXT( AVERAGE(E7:E16, E21:E30, E35:E44, E49:E58, E63:E72, E77:E86),"0.00%")
&amp;"±"&amp;
TEXT( _xlfn.STDEV.S(E7:E16, E21:E30, E35:E44, E49:E58, E63:E72, E77:E86),"0.00%")</f>
        <v>12.71%±13.06%</v>
      </c>
      <c r="D3" s="17"/>
      <c r="E3" s="26" t="str">
        <f>TEXT( AVERAGE(F7:F16, F21:F30, F35:F44, F49:F58, F63:F72, F77:F86),"0.000")
&amp;"±"&amp;
TEXT( _xlfn.STDEV.S(F7:F16, F21:F30, F35:F44, F49:F58, F63:F72, F77:F86),"0.000")</f>
        <v>0.871±8.205</v>
      </c>
      <c r="F3" s="27"/>
      <c r="G3" s="16"/>
    </row>
    <row r="4" spans="1:7" x14ac:dyDescent="0.3">
      <c r="A4" s="6"/>
      <c r="B4" s="6"/>
      <c r="C4" s="14"/>
      <c r="D4" s="14"/>
      <c r="E4" s="6"/>
      <c r="F4" s="6"/>
      <c r="G4" s="16"/>
    </row>
    <row r="5" spans="1:7" x14ac:dyDescent="0.3">
      <c r="A5" s="22" t="s">
        <v>0</v>
      </c>
      <c r="B5" s="22"/>
      <c r="C5" s="22"/>
      <c r="D5" s="22"/>
      <c r="E5" s="22"/>
      <c r="F5" s="22"/>
      <c r="G5" s="22"/>
    </row>
    <row r="6" spans="1:7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13</v>
      </c>
      <c r="F6" s="1" t="s">
        <v>12</v>
      </c>
      <c r="G6" s="1" t="s">
        <v>5</v>
      </c>
    </row>
    <row r="7" spans="1:7" x14ac:dyDescent="0.3">
      <c r="A7" s="2">
        <v>1</v>
      </c>
      <c r="B7" s="3">
        <v>19.91</v>
      </c>
      <c r="C7" s="2">
        <v>20</v>
      </c>
      <c r="D7" s="10">
        <f t="shared" ref="D7:D16" si="0">ABS(B7-C7)</f>
        <v>8.9999999999999858E-2</v>
      </c>
      <c r="E7" s="12">
        <f t="shared" ref="E7:E16" si="1">ABS(B7-C7)/C7</f>
        <v>4.4999999999999927E-3</v>
      </c>
      <c r="F7" s="11">
        <f t="shared" ref="F7:F16" si="2">B7-C7</f>
        <v>-8.9999999999999858E-2</v>
      </c>
      <c r="G7" s="4">
        <v>1.01</v>
      </c>
    </row>
    <row r="8" spans="1:7" x14ac:dyDescent="0.3">
      <c r="A8" s="2">
        <v>2</v>
      </c>
      <c r="B8" s="3">
        <v>22.63</v>
      </c>
      <c r="C8" s="2">
        <v>20</v>
      </c>
      <c r="D8" s="10">
        <f t="shared" si="0"/>
        <v>2.629999999999999</v>
      </c>
      <c r="E8" s="12">
        <f t="shared" si="1"/>
        <v>0.13149999999999995</v>
      </c>
      <c r="F8" s="11">
        <f t="shared" si="2"/>
        <v>2.629999999999999</v>
      </c>
      <c r="G8" s="4">
        <v>1.01</v>
      </c>
    </row>
    <row r="9" spans="1:7" x14ac:dyDescent="0.3">
      <c r="A9" s="2">
        <v>3</v>
      </c>
      <c r="B9" s="3">
        <v>24.18</v>
      </c>
      <c r="C9" s="2">
        <v>20</v>
      </c>
      <c r="D9" s="10">
        <f t="shared" si="0"/>
        <v>4.18</v>
      </c>
      <c r="E9" s="12">
        <f t="shared" si="1"/>
        <v>0.20899999999999999</v>
      </c>
      <c r="F9" s="11">
        <f t="shared" si="2"/>
        <v>4.18</v>
      </c>
      <c r="G9" s="4">
        <v>1.01</v>
      </c>
    </row>
    <row r="10" spans="1:7" x14ac:dyDescent="0.3">
      <c r="A10" s="2">
        <v>4</v>
      </c>
      <c r="B10" s="3">
        <v>21.62</v>
      </c>
      <c r="C10" s="2">
        <v>20</v>
      </c>
      <c r="D10" s="10">
        <f t="shared" si="0"/>
        <v>1.620000000000001</v>
      </c>
      <c r="E10" s="12">
        <f t="shared" si="1"/>
        <v>8.1000000000000044E-2</v>
      </c>
      <c r="F10" s="11">
        <f t="shared" si="2"/>
        <v>1.620000000000001</v>
      </c>
      <c r="G10" s="4">
        <v>1.01</v>
      </c>
    </row>
    <row r="11" spans="1:7" x14ac:dyDescent="0.3">
      <c r="A11" s="2">
        <v>5</v>
      </c>
      <c r="B11" s="5">
        <v>18.5</v>
      </c>
      <c r="C11" s="2">
        <v>20</v>
      </c>
      <c r="D11" s="10">
        <f t="shared" si="0"/>
        <v>1.5</v>
      </c>
      <c r="E11" s="12">
        <f t="shared" si="1"/>
        <v>7.4999999999999997E-2</v>
      </c>
      <c r="F11" s="11">
        <f t="shared" si="2"/>
        <v>-1.5</v>
      </c>
      <c r="G11" s="4">
        <v>1.01</v>
      </c>
    </row>
    <row r="12" spans="1:7" x14ac:dyDescent="0.3">
      <c r="A12" s="2">
        <v>6</v>
      </c>
      <c r="B12" s="3">
        <v>12.82</v>
      </c>
      <c r="C12" s="2">
        <v>20</v>
      </c>
      <c r="D12" s="10">
        <f t="shared" si="0"/>
        <v>7.18</v>
      </c>
      <c r="E12" s="12">
        <f t="shared" si="1"/>
        <v>0.35899999999999999</v>
      </c>
      <c r="F12" s="11">
        <f t="shared" si="2"/>
        <v>-7.18</v>
      </c>
      <c r="G12" s="4">
        <v>1.01</v>
      </c>
    </row>
    <row r="13" spans="1:7" x14ac:dyDescent="0.3">
      <c r="A13" s="2">
        <v>7</v>
      </c>
      <c r="B13" s="3">
        <v>18.37</v>
      </c>
      <c r="C13" s="2">
        <v>20</v>
      </c>
      <c r="D13" s="10">
        <f t="shared" si="0"/>
        <v>1.629999999999999</v>
      </c>
      <c r="E13" s="12">
        <f t="shared" si="1"/>
        <v>8.1499999999999947E-2</v>
      </c>
      <c r="F13" s="11">
        <f t="shared" si="2"/>
        <v>-1.629999999999999</v>
      </c>
      <c r="G13" s="4">
        <v>1.01</v>
      </c>
    </row>
    <row r="14" spans="1:7" x14ac:dyDescent="0.3">
      <c r="A14" s="2">
        <v>8</v>
      </c>
      <c r="B14" s="3">
        <v>20.98</v>
      </c>
      <c r="C14" s="2">
        <v>19</v>
      </c>
      <c r="D14" s="10">
        <f t="shared" si="0"/>
        <v>1.9800000000000004</v>
      </c>
      <c r="E14" s="12">
        <f t="shared" si="1"/>
        <v>0.10421052631578949</v>
      </c>
      <c r="F14" s="11">
        <f t="shared" si="2"/>
        <v>1.9800000000000004</v>
      </c>
      <c r="G14" s="4">
        <v>1.01</v>
      </c>
    </row>
    <row r="15" spans="1:7" x14ac:dyDescent="0.3">
      <c r="A15" s="2">
        <v>9</v>
      </c>
      <c r="B15" s="3">
        <v>20.43</v>
      </c>
      <c r="C15" s="2">
        <v>19</v>
      </c>
      <c r="D15" s="10">
        <f t="shared" si="0"/>
        <v>1.4299999999999997</v>
      </c>
      <c r="E15" s="12">
        <f t="shared" si="1"/>
        <v>7.5263157894736823E-2</v>
      </c>
      <c r="F15" s="11">
        <f t="shared" si="2"/>
        <v>1.4299999999999997</v>
      </c>
      <c r="G15" s="4">
        <v>1.01</v>
      </c>
    </row>
    <row r="16" spans="1:7" x14ac:dyDescent="0.3">
      <c r="A16" s="2">
        <v>10</v>
      </c>
      <c r="B16" s="5">
        <v>19</v>
      </c>
      <c r="C16" s="2">
        <v>20</v>
      </c>
      <c r="D16" s="10">
        <f t="shared" si="0"/>
        <v>1</v>
      </c>
      <c r="E16" s="12">
        <f t="shared" si="1"/>
        <v>0.05</v>
      </c>
      <c r="F16" s="11">
        <f t="shared" si="2"/>
        <v>-1</v>
      </c>
      <c r="G16" s="4">
        <v>1.01</v>
      </c>
    </row>
    <row r="17" spans="1:7" x14ac:dyDescent="0.3">
      <c r="A17" s="6"/>
      <c r="B17" s="7"/>
      <c r="C17" s="6"/>
      <c r="D17" s="8" t="str">
        <f>ROUND(AVERAGE(D7:D16),3)&amp; "±" &amp;ROUND(_xlfn.STDEV.S(D7:D16),2)</f>
        <v>2.324±2.01</v>
      </c>
      <c r="E17" s="13" t="str">
        <f>TEXT(AVERAGE(E7:E16),"0.00%") &amp; "±" &amp; TEXT(_xlfn.STDEV.S(E7:E16),"0.00%")</f>
        <v>11.71%±10.03%</v>
      </c>
      <c r="F17" s="8" t="str">
        <f>ROUND(AVERAGE(F7:F16),3)&amp; "±" &amp;ROUND(_xlfn.STDEV.S(F7:F16),2)</f>
        <v>0.044±3.17</v>
      </c>
      <c r="G17" s="8" t="str">
        <f>ROUND(AVERAGE(G7:G16),3)&amp; "±" &amp;ROUND(_xlfn.STDEV.S(G7:G16),2)</f>
        <v>1.01±0</v>
      </c>
    </row>
    <row r="18" spans="1:7" x14ac:dyDescent="0.3">
      <c r="A18" s="6"/>
      <c r="B18" s="6"/>
      <c r="C18" s="6"/>
      <c r="D18" s="6"/>
      <c r="E18" s="6"/>
      <c r="F18" s="6"/>
      <c r="G18" s="6"/>
    </row>
    <row r="19" spans="1:7" x14ac:dyDescent="0.3">
      <c r="A19" s="21" t="s">
        <v>6</v>
      </c>
      <c r="B19" s="21"/>
      <c r="C19" s="21"/>
      <c r="D19" s="21"/>
      <c r="E19" s="21"/>
      <c r="F19" s="21"/>
      <c r="G19" s="21"/>
    </row>
    <row r="20" spans="1:7" x14ac:dyDescent="0.3">
      <c r="A20" s="1" t="s">
        <v>1</v>
      </c>
      <c r="B20" s="1" t="s">
        <v>2</v>
      </c>
      <c r="C20" s="1" t="s">
        <v>3</v>
      </c>
      <c r="D20" s="1" t="s">
        <v>4</v>
      </c>
      <c r="E20" s="1" t="s">
        <v>13</v>
      </c>
      <c r="F20" s="1" t="s">
        <v>12</v>
      </c>
      <c r="G20" s="1" t="s">
        <v>5</v>
      </c>
    </row>
    <row r="21" spans="1:7" x14ac:dyDescent="0.3">
      <c r="A21" s="2">
        <v>1</v>
      </c>
      <c r="B21" s="3">
        <v>32.18</v>
      </c>
      <c r="C21" s="2">
        <v>20</v>
      </c>
      <c r="D21" s="10">
        <f t="shared" ref="D21:D30" si="3">ABS(B21-C21)</f>
        <v>12.18</v>
      </c>
      <c r="E21" s="12">
        <f t="shared" ref="E21:E30" si="4">ABS(B21-C21)/C21</f>
        <v>0.60899999999999999</v>
      </c>
      <c r="F21" s="11">
        <f t="shared" ref="F21:F30" si="5">B21-C21</f>
        <v>12.18</v>
      </c>
      <c r="G21" s="2">
        <v>1.04</v>
      </c>
    </row>
    <row r="22" spans="1:7" x14ac:dyDescent="0.3">
      <c r="A22" s="2">
        <v>2</v>
      </c>
      <c r="B22" s="3">
        <v>22.54</v>
      </c>
      <c r="C22" s="2">
        <v>21</v>
      </c>
      <c r="D22" s="10">
        <f t="shared" si="3"/>
        <v>1.5399999999999991</v>
      </c>
      <c r="E22" s="12">
        <f t="shared" si="4"/>
        <v>7.3333333333333292E-2</v>
      </c>
      <c r="F22" s="11">
        <f t="shared" si="5"/>
        <v>1.5399999999999991</v>
      </c>
      <c r="G22" s="2">
        <v>1.05</v>
      </c>
    </row>
    <row r="23" spans="1:7" x14ac:dyDescent="0.3">
      <c r="A23" s="2">
        <v>3</v>
      </c>
      <c r="B23" s="3">
        <v>16.010000000000002</v>
      </c>
      <c r="C23" s="2">
        <v>21</v>
      </c>
      <c r="D23" s="10">
        <f t="shared" si="3"/>
        <v>4.9899999999999984</v>
      </c>
      <c r="E23" s="12">
        <f t="shared" si="4"/>
        <v>0.23761904761904754</v>
      </c>
      <c r="F23" s="11">
        <f t="shared" si="5"/>
        <v>-4.9899999999999984</v>
      </c>
      <c r="G23" s="2">
        <v>1.04</v>
      </c>
    </row>
    <row r="24" spans="1:7" x14ac:dyDescent="0.3">
      <c r="A24" s="2">
        <v>4</v>
      </c>
      <c r="B24" s="3">
        <v>24.68</v>
      </c>
      <c r="C24" s="2">
        <v>19</v>
      </c>
      <c r="D24" s="10">
        <f t="shared" si="3"/>
        <v>5.68</v>
      </c>
      <c r="E24" s="12">
        <f t="shared" si="4"/>
        <v>0.29894736842105263</v>
      </c>
      <c r="F24" s="11">
        <f t="shared" si="5"/>
        <v>5.68</v>
      </c>
      <c r="G24" s="2">
        <v>1.79</v>
      </c>
    </row>
    <row r="25" spans="1:7" x14ac:dyDescent="0.3">
      <c r="A25" s="2">
        <v>5</v>
      </c>
      <c r="B25" s="3">
        <v>18.7</v>
      </c>
      <c r="C25" s="2">
        <v>20</v>
      </c>
      <c r="D25" s="10">
        <f t="shared" si="3"/>
        <v>1.3000000000000007</v>
      </c>
      <c r="E25" s="12">
        <f t="shared" si="4"/>
        <v>6.500000000000003E-2</v>
      </c>
      <c r="F25" s="11">
        <f t="shared" si="5"/>
        <v>-1.3000000000000007</v>
      </c>
      <c r="G25" s="2">
        <v>1.04</v>
      </c>
    </row>
    <row r="26" spans="1:7" x14ac:dyDescent="0.3">
      <c r="A26" s="2">
        <v>6</v>
      </c>
      <c r="B26" s="3">
        <v>15.06</v>
      </c>
      <c r="C26" s="2">
        <v>20</v>
      </c>
      <c r="D26" s="10">
        <f t="shared" si="3"/>
        <v>4.9399999999999995</v>
      </c>
      <c r="E26" s="12">
        <f t="shared" si="4"/>
        <v>0.24699999999999997</v>
      </c>
      <c r="F26" s="11">
        <f t="shared" si="5"/>
        <v>-4.9399999999999995</v>
      </c>
      <c r="G26" s="2">
        <v>1.01</v>
      </c>
    </row>
    <row r="27" spans="1:7" x14ac:dyDescent="0.3">
      <c r="A27" s="2">
        <v>7</v>
      </c>
      <c r="B27" s="3">
        <v>18.760000000000002</v>
      </c>
      <c r="C27" s="2">
        <v>21</v>
      </c>
      <c r="D27" s="10">
        <f t="shared" si="3"/>
        <v>2.2399999999999984</v>
      </c>
      <c r="E27" s="12">
        <f t="shared" si="4"/>
        <v>0.10666666666666659</v>
      </c>
      <c r="F27" s="11">
        <f t="shared" si="5"/>
        <v>-2.2399999999999984</v>
      </c>
      <c r="G27" s="2">
        <v>1.02</v>
      </c>
    </row>
    <row r="28" spans="1:7" x14ac:dyDescent="0.3">
      <c r="A28" s="2">
        <v>8</v>
      </c>
      <c r="B28" s="3">
        <v>17.75</v>
      </c>
      <c r="C28" s="2">
        <v>21</v>
      </c>
      <c r="D28" s="10">
        <f t="shared" si="3"/>
        <v>3.25</v>
      </c>
      <c r="E28" s="12">
        <f t="shared" si="4"/>
        <v>0.15476190476190477</v>
      </c>
      <c r="F28" s="11">
        <f t="shared" si="5"/>
        <v>-3.25</v>
      </c>
      <c r="G28" s="2">
        <v>1.05</v>
      </c>
    </row>
    <row r="29" spans="1:7" x14ac:dyDescent="0.3">
      <c r="A29" s="2">
        <v>9</v>
      </c>
      <c r="B29" s="3">
        <v>25.32</v>
      </c>
      <c r="C29" s="2">
        <v>21</v>
      </c>
      <c r="D29" s="10">
        <f t="shared" si="3"/>
        <v>4.32</v>
      </c>
      <c r="E29" s="12">
        <f t="shared" si="4"/>
        <v>0.20571428571428574</v>
      </c>
      <c r="F29" s="11">
        <f t="shared" si="5"/>
        <v>4.32</v>
      </c>
      <c r="G29" s="2">
        <v>1.01</v>
      </c>
    </row>
    <row r="30" spans="1:7" x14ac:dyDescent="0.3">
      <c r="A30" s="2">
        <v>10</v>
      </c>
      <c r="B30" s="3">
        <v>18.690000000000001</v>
      </c>
      <c r="C30" s="2">
        <v>21</v>
      </c>
      <c r="D30" s="10">
        <f t="shared" si="3"/>
        <v>2.3099999999999987</v>
      </c>
      <c r="E30" s="12">
        <f t="shared" si="4"/>
        <v>0.10999999999999995</v>
      </c>
      <c r="F30" s="11">
        <f t="shared" si="5"/>
        <v>-2.3099999999999987</v>
      </c>
      <c r="G30" s="2">
        <v>1.02</v>
      </c>
    </row>
    <row r="31" spans="1:7" x14ac:dyDescent="0.3">
      <c r="A31" s="6"/>
      <c r="B31" s="7"/>
      <c r="C31" s="6"/>
      <c r="D31" s="8" t="str">
        <f>ROUND(AVERAGE(D21:D30),3)&amp; "±" &amp;ROUND(_xlfn.STDEV.S(D21:D30),2)</f>
        <v>4.275±3.18</v>
      </c>
      <c r="E31" s="13" t="str">
        <f>TEXT(AVERAGE(E21:E30),"0.00%") &amp; "±" &amp; TEXT(_xlfn.STDEV.S(E21:E30),"0.00%")</f>
        <v>21.08%±16.08%</v>
      </c>
      <c r="F31" s="8" t="str">
        <f>ROUND(AVERAGE(F21:F30),3)&amp; "±" &amp;ROUND(_xlfn.STDEV.S(F21:F30),2)</f>
        <v>0.469±5.49</v>
      </c>
      <c r="G31" s="8" t="str">
        <f>ROUND(AVERAGE(G21:G30),3)&amp; "±" &amp;ROUND(_xlfn.STDEV.S(G21:G30),2)</f>
        <v>1.107±0.24</v>
      </c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21" t="s">
        <v>7</v>
      </c>
      <c r="B33" s="21"/>
      <c r="C33" s="21"/>
      <c r="D33" s="21"/>
      <c r="E33" s="21"/>
      <c r="F33" s="21"/>
      <c r="G33" s="21"/>
    </row>
    <row r="34" spans="1:7" x14ac:dyDescent="0.3">
      <c r="A34" s="1" t="s">
        <v>1</v>
      </c>
      <c r="B34" s="1" t="s">
        <v>2</v>
      </c>
      <c r="C34" s="1" t="s">
        <v>3</v>
      </c>
      <c r="D34" s="1" t="s">
        <v>4</v>
      </c>
      <c r="E34" s="1" t="s">
        <v>13</v>
      </c>
      <c r="F34" s="1" t="s">
        <v>12</v>
      </c>
      <c r="G34" s="1" t="s">
        <v>5</v>
      </c>
    </row>
    <row r="35" spans="1:7" x14ac:dyDescent="0.3">
      <c r="A35" s="2">
        <v>1</v>
      </c>
      <c r="B35" s="3">
        <v>19.61</v>
      </c>
      <c r="C35" s="2">
        <v>21</v>
      </c>
      <c r="D35" s="10">
        <f t="shared" ref="D35:D44" si="6">ABS(B35-C35)</f>
        <v>1.3900000000000006</v>
      </c>
      <c r="E35" s="12">
        <f t="shared" ref="E35:E44" si="7">ABS(B35-C35)/C35</f>
        <v>6.6190476190476216E-2</v>
      </c>
      <c r="F35" s="11">
        <f t="shared" ref="F35:F44" si="8">B35-C35</f>
        <v>-1.3900000000000006</v>
      </c>
      <c r="G35" s="2">
        <v>1.02</v>
      </c>
    </row>
    <row r="36" spans="1:7" x14ac:dyDescent="0.3">
      <c r="A36" s="2">
        <v>2</v>
      </c>
      <c r="B36" s="3">
        <v>25.36</v>
      </c>
      <c r="C36" s="2">
        <v>19</v>
      </c>
      <c r="D36" s="10">
        <f t="shared" si="6"/>
        <v>6.3599999999999994</v>
      </c>
      <c r="E36" s="12">
        <f t="shared" si="7"/>
        <v>0.33473684210526311</v>
      </c>
      <c r="F36" s="11">
        <f t="shared" si="8"/>
        <v>6.3599999999999994</v>
      </c>
      <c r="G36" s="2">
        <v>1.06</v>
      </c>
    </row>
    <row r="37" spans="1:7" x14ac:dyDescent="0.3">
      <c r="A37" s="2">
        <v>3</v>
      </c>
      <c r="B37" s="5">
        <v>27.6</v>
      </c>
      <c r="C37" s="2">
        <v>21</v>
      </c>
      <c r="D37" s="10">
        <f t="shared" si="6"/>
        <v>6.6000000000000014</v>
      </c>
      <c r="E37" s="12">
        <f t="shared" si="7"/>
        <v>0.31428571428571433</v>
      </c>
      <c r="F37" s="11">
        <f t="shared" si="8"/>
        <v>6.6000000000000014</v>
      </c>
      <c r="G37" s="2">
        <v>1.01</v>
      </c>
    </row>
    <row r="38" spans="1:7" x14ac:dyDescent="0.3">
      <c r="A38" s="2">
        <v>4</v>
      </c>
      <c r="B38" s="3">
        <v>22.46</v>
      </c>
      <c r="C38" s="2">
        <v>20</v>
      </c>
      <c r="D38" s="10">
        <f t="shared" si="6"/>
        <v>2.4600000000000009</v>
      </c>
      <c r="E38" s="12">
        <f t="shared" si="7"/>
        <v>0.12300000000000004</v>
      </c>
      <c r="F38" s="11">
        <f t="shared" si="8"/>
        <v>2.4600000000000009</v>
      </c>
      <c r="G38" s="2">
        <v>1.02</v>
      </c>
    </row>
    <row r="39" spans="1:7" x14ac:dyDescent="0.3">
      <c r="A39" s="2">
        <v>5</v>
      </c>
      <c r="B39" s="3">
        <v>25.74</v>
      </c>
      <c r="C39" s="2">
        <v>20</v>
      </c>
      <c r="D39" s="10">
        <f t="shared" si="6"/>
        <v>5.7399999999999984</v>
      </c>
      <c r="E39" s="12">
        <f t="shared" si="7"/>
        <v>0.28699999999999992</v>
      </c>
      <c r="F39" s="11">
        <f t="shared" si="8"/>
        <v>5.7399999999999984</v>
      </c>
      <c r="G39" s="2">
        <v>1.01</v>
      </c>
    </row>
    <row r="40" spans="1:7" x14ac:dyDescent="0.3">
      <c r="A40" s="2">
        <v>6</v>
      </c>
      <c r="B40" s="3">
        <v>13.74</v>
      </c>
      <c r="C40" s="2">
        <v>20</v>
      </c>
      <c r="D40" s="10">
        <f t="shared" si="6"/>
        <v>6.26</v>
      </c>
      <c r="E40" s="12">
        <f t="shared" si="7"/>
        <v>0.313</v>
      </c>
      <c r="F40" s="11">
        <f t="shared" si="8"/>
        <v>-6.26</v>
      </c>
      <c r="G40" s="2">
        <v>1.01</v>
      </c>
    </row>
    <row r="41" spans="1:7" x14ac:dyDescent="0.3">
      <c r="A41" s="2">
        <v>7</v>
      </c>
      <c r="B41" s="3">
        <v>25.78</v>
      </c>
      <c r="C41" s="2">
        <v>20</v>
      </c>
      <c r="D41" s="10">
        <f t="shared" si="6"/>
        <v>5.7800000000000011</v>
      </c>
      <c r="E41" s="12">
        <f t="shared" si="7"/>
        <v>0.28900000000000003</v>
      </c>
      <c r="F41" s="11">
        <f t="shared" si="8"/>
        <v>5.7800000000000011</v>
      </c>
      <c r="G41" s="2">
        <v>1.01</v>
      </c>
    </row>
    <row r="42" spans="1:7" x14ac:dyDescent="0.3">
      <c r="A42" s="2">
        <v>8</v>
      </c>
      <c r="B42" s="3">
        <v>15.43</v>
      </c>
      <c r="C42" s="2">
        <v>21</v>
      </c>
      <c r="D42" s="10">
        <f t="shared" si="6"/>
        <v>5.57</v>
      </c>
      <c r="E42" s="12">
        <f t="shared" si="7"/>
        <v>0.26523809523809527</v>
      </c>
      <c r="F42" s="11">
        <f t="shared" si="8"/>
        <v>-5.57</v>
      </c>
      <c r="G42" s="2">
        <v>1.01</v>
      </c>
    </row>
    <row r="43" spans="1:7" x14ac:dyDescent="0.3">
      <c r="A43" s="2">
        <v>9</v>
      </c>
      <c r="B43" s="3">
        <v>32.76</v>
      </c>
      <c r="C43" s="2">
        <v>21</v>
      </c>
      <c r="D43" s="10">
        <f t="shared" si="6"/>
        <v>11.759999999999998</v>
      </c>
      <c r="E43" s="12">
        <f t="shared" si="7"/>
        <v>0.55999999999999994</v>
      </c>
      <c r="F43" s="11">
        <f t="shared" si="8"/>
        <v>11.759999999999998</v>
      </c>
      <c r="G43" s="2">
        <v>1.01</v>
      </c>
    </row>
    <row r="44" spans="1:7" x14ac:dyDescent="0.3">
      <c r="A44" s="2">
        <v>10</v>
      </c>
      <c r="B44" s="3">
        <v>19.29</v>
      </c>
      <c r="C44" s="2">
        <v>20</v>
      </c>
      <c r="D44" s="10">
        <f t="shared" si="6"/>
        <v>0.71000000000000085</v>
      </c>
      <c r="E44" s="12">
        <f t="shared" si="7"/>
        <v>3.5500000000000045E-2</v>
      </c>
      <c r="F44" s="11">
        <f t="shared" si="8"/>
        <v>-0.71000000000000085</v>
      </c>
      <c r="G44" s="2">
        <v>1.02</v>
      </c>
    </row>
    <row r="45" spans="1:7" x14ac:dyDescent="0.3">
      <c r="A45" s="6"/>
      <c r="B45" s="7"/>
      <c r="C45" s="6"/>
      <c r="D45" s="8" t="str">
        <f>ROUND(AVERAGE(D35:D44),3)&amp; "±" &amp;ROUND(_xlfn.STDEV.S(D35:D44),2)</f>
        <v>5.263±3.17</v>
      </c>
      <c r="E45" s="13" t="str">
        <f>TEXT(AVERAGE(E35:E44),"0.00%") &amp; "±" &amp; TEXT(_xlfn.STDEV.S(E35:E44),"0.00%")</f>
        <v>25.88%±15.26%</v>
      </c>
      <c r="F45" s="8" t="str">
        <f>ROUND(AVERAGE(F35:F44),3)&amp; "±" &amp;ROUND(_xlfn.STDEV.S(F35:F44),2)</f>
        <v>2.477±5.83</v>
      </c>
      <c r="G45" s="8" t="str">
        <f>ROUND(AVERAGE(G35:G44),3)&amp; "±" &amp;ROUND(_xlfn.STDEV.S(G35:G44),2)</f>
        <v>1.018±0.02</v>
      </c>
    </row>
    <row r="46" spans="1:7" x14ac:dyDescent="0.3">
      <c r="A46" s="6"/>
      <c r="B46" s="6"/>
      <c r="C46" s="6"/>
      <c r="D46" s="6"/>
      <c r="E46" s="6"/>
      <c r="F46" s="6"/>
      <c r="G46" s="6"/>
    </row>
    <row r="47" spans="1:7" x14ac:dyDescent="0.3">
      <c r="A47" s="21" t="s">
        <v>8</v>
      </c>
      <c r="B47" s="21"/>
      <c r="C47" s="21"/>
      <c r="D47" s="21"/>
      <c r="E47" s="21"/>
      <c r="F47" s="21"/>
      <c r="G47" s="21"/>
    </row>
    <row r="48" spans="1:7" x14ac:dyDescent="0.3">
      <c r="A48" s="1" t="s">
        <v>1</v>
      </c>
      <c r="B48" s="1" t="s">
        <v>2</v>
      </c>
      <c r="C48" s="1" t="s">
        <v>3</v>
      </c>
      <c r="D48" s="1" t="s">
        <v>4</v>
      </c>
      <c r="E48" s="1" t="s">
        <v>13</v>
      </c>
      <c r="F48" s="1" t="s">
        <v>12</v>
      </c>
      <c r="G48" s="1" t="s">
        <v>5</v>
      </c>
    </row>
    <row r="49" spans="1:7" x14ac:dyDescent="0.3">
      <c r="A49" s="2">
        <v>1</v>
      </c>
      <c r="B49" s="3">
        <v>20.420000000000002</v>
      </c>
      <c r="C49" s="2">
        <v>20</v>
      </c>
      <c r="D49" s="10">
        <f>ABS(B49-C49)</f>
        <v>0.42000000000000171</v>
      </c>
      <c r="E49" s="12">
        <f>ABS(B49-C49)/C49</f>
        <v>2.1000000000000085E-2</v>
      </c>
      <c r="F49" s="11">
        <f>B49-C49</f>
        <v>0.42000000000000171</v>
      </c>
      <c r="G49" s="2">
        <v>2.68</v>
      </c>
    </row>
    <row r="50" spans="1:7" x14ac:dyDescent="0.3">
      <c r="A50" s="2">
        <v>2</v>
      </c>
      <c r="B50" s="5">
        <v>22.3</v>
      </c>
      <c r="C50" s="2">
        <v>22</v>
      </c>
      <c r="D50" s="10">
        <f t="shared" ref="D50:D58" si="9">ABS(B50-C50)</f>
        <v>0.30000000000000071</v>
      </c>
      <c r="E50" s="12">
        <f t="shared" ref="E50:E58" si="10">ABS(B50-C50)/C50</f>
        <v>1.3636363636363669E-2</v>
      </c>
      <c r="F50" s="11">
        <f t="shared" ref="F50:F58" si="11">B50-C50</f>
        <v>0.30000000000000071</v>
      </c>
      <c r="G50" s="2">
        <v>1.73</v>
      </c>
    </row>
    <row r="51" spans="1:7" x14ac:dyDescent="0.3">
      <c r="A51" s="2">
        <v>3</v>
      </c>
      <c r="B51" s="3">
        <v>20.67</v>
      </c>
      <c r="C51" s="2">
        <v>21</v>
      </c>
      <c r="D51" s="10">
        <f t="shared" si="9"/>
        <v>0.32999999999999829</v>
      </c>
      <c r="E51" s="12">
        <f t="shared" si="10"/>
        <v>1.5714285714285632E-2</v>
      </c>
      <c r="F51" s="11">
        <f t="shared" si="11"/>
        <v>-0.32999999999999829</v>
      </c>
      <c r="G51" s="2">
        <v>2.2400000000000002</v>
      </c>
    </row>
    <row r="52" spans="1:7" x14ac:dyDescent="0.3">
      <c r="A52" s="2">
        <v>4</v>
      </c>
      <c r="B52" s="3">
        <v>23.14</v>
      </c>
      <c r="C52" s="2">
        <v>21</v>
      </c>
      <c r="D52" s="10">
        <f t="shared" si="9"/>
        <v>2.1400000000000006</v>
      </c>
      <c r="E52" s="12">
        <f t="shared" si="10"/>
        <v>0.10190476190476193</v>
      </c>
      <c r="F52" s="11">
        <f t="shared" si="11"/>
        <v>2.1400000000000006</v>
      </c>
      <c r="G52" s="2">
        <v>2.25</v>
      </c>
    </row>
    <row r="53" spans="1:7" x14ac:dyDescent="0.3">
      <c r="A53" s="2">
        <v>5</v>
      </c>
      <c r="B53" s="3">
        <v>16.440000000000001</v>
      </c>
      <c r="C53" s="2">
        <v>20</v>
      </c>
      <c r="D53" s="10">
        <f t="shared" si="9"/>
        <v>3.5599999999999987</v>
      </c>
      <c r="E53" s="12">
        <f t="shared" si="10"/>
        <v>0.17799999999999994</v>
      </c>
      <c r="F53" s="11">
        <f t="shared" si="11"/>
        <v>-3.5599999999999987</v>
      </c>
      <c r="G53" s="2">
        <v>2.59</v>
      </c>
    </row>
    <row r="54" spans="1:7" x14ac:dyDescent="0.3">
      <c r="A54" s="2">
        <v>6</v>
      </c>
      <c r="B54" s="3">
        <v>21.31</v>
      </c>
      <c r="C54" s="2">
        <v>21</v>
      </c>
      <c r="D54" s="10">
        <f t="shared" si="9"/>
        <v>0.30999999999999872</v>
      </c>
      <c r="E54" s="12">
        <f t="shared" si="10"/>
        <v>1.4761904761904702E-2</v>
      </c>
      <c r="F54" s="11">
        <f t="shared" si="11"/>
        <v>0.30999999999999872</v>
      </c>
      <c r="G54" s="2">
        <v>2.68</v>
      </c>
    </row>
    <row r="55" spans="1:7" x14ac:dyDescent="0.3">
      <c r="A55" s="2">
        <v>7</v>
      </c>
      <c r="B55" s="3">
        <v>18.39</v>
      </c>
      <c r="C55" s="2">
        <v>19</v>
      </c>
      <c r="D55" s="10">
        <f t="shared" si="9"/>
        <v>0.60999999999999943</v>
      </c>
      <c r="E55" s="12">
        <f t="shared" si="10"/>
        <v>3.2105263157894706E-2</v>
      </c>
      <c r="F55" s="11">
        <f t="shared" si="11"/>
        <v>-0.60999999999999943</v>
      </c>
      <c r="G55" s="2">
        <v>2.74</v>
      </c>
    </row>
    <row r="56" spans="1:7" x14ac:dyDescent="0.3">
      <c r="A56" s="2">
        <v>8</v>
      </c>
      <c r="B56" s="3">
        <v>19.97</v>
      </c>
      <c r="C56" s="2">
        <v>20</v>
      </c>
      <c r="D56" s="10">
        <f t="shared" si="9"/>
        <v>3.0000000000001137E-2</v>
      </c>
      <c r="E56" s="12">
        <f t="shared" si="10"/>
        <v>1.5000000000000568E-3</v>
      </c>
      <c r="F56" s="11">
        <f t="shared" si="11"/>
        <v>-3.0000000000001137E-2</v>
      </c>
      <c r="G56" s="2">
        <v>2.17</v>
      </c>
    </row>
    <row r="57" spans="1:7" x14ac:dyDescent="0.3">
      <c r="A57" s="2">
        <v>9</v>
      </c>
      <c r="B57" s="3">
        <v>18.72</v>
      </c>
      <c r="C57" s="2">
        <v>20</v>
      </c>
      <c r="D57" s="10">
        <f t="shared" si="9"/>
        <v>1.2800000000000011</v>
      </c>
      <c r="E57" s="12">
        <f t="shared" si="10"/>
        <v>6.4000000000000057E-2</v>
      </c>
      <c r="F57" s="11">
        <f t="shared" si="11"/>
        <v>-1.2800000000000011</v>
      </c>
      <c r="G57" s="2">
        <v>2.77</v>
      </c>
    </row>
    <row r="58" spans="1:7" x14ac:dyDescent="0.3">
      <c r="A58" s="2">
        <v>10</v>
      </c>
      <c r="B58" s="3">
        <v>22.05</v>
      </c>
      <c r="C58" s="2">
        <v>20</v>
      </c>
      <c r="D58" s="10">
        <f t="shared" si="9"/>
        <v>2.0500000000000007</v>
      </c>
      <c r="E58" s="12">
        <f t="shared" si="10"/>
        <v>0.10250000000000004</v>
      </c>
      <c r="F58" s="11">
        <f t="shared" si="11"/>
        <v>2.0500000000000007</v>
      </c>
      <c r="G58" s="2">
        <v>2.2400000000000002</v>
      </c>
    </row>
    <row r="59" spans="1:7" x14ac:dyDescent="0.3">
      <c r="A59" s="6"/>
      <c r="B59" s="6"/>
      <c r="C59" s="6"/>
      <c r="D59" s="8" t="str">
        <f>ROUND(AVERAGE(D49:D58),3)&amp; "±" &amp;ROUND(_xlfn.STDEV.S(D49:D58),2)</f>
        <v>1.103±1.14</v>
      </c>
      <c r="E59" s="13" t="str">
        <f>TEXT(AVERAGE(E49:E58),"0.00%") &amp; "±" &amp; TEXT(_xlfn.STDEV.S(E49:E58),"0.00%")</f>
        <v>5.45%±5.68%</v>
      </c>
      <c r="F59" s="8" t="str">
        <f>ROUND(AVERAGE(F49:F58),3)&amp; "±" &amp;ROUND(_xlfn.STDEV.S(F49:F58),2)</f>
        <v>-0.059±1.63</v>
      </c>
      <c r="G59" s="8" t="str">
        <f>ROUND(AVERAGE(G49:G58),3)&amp; "±" &amp;ROUND(_xlfn.STDEV.S(G49:G58),2)</f>
        <v>2.409±0.34</v>
      </c>
    </row>
    <row r="60" spans="1:7" x14ac:dyDescent="0.3">
      <c r="A60" s="6"/>
      <c r="B60" s="6"/>
      <c r="C60" s="6"/>
      <c r="D60" s="6"/>
      <c r="E60" s="6"/>
      <c r="F60" s="6"/>
      <c r="G60" s="6"/>
    </row>
    <row r="61" spans="1:7" x14ac:dyDescent="0.3">
      <c r="A61" s="21" t="s">
        <v>9</v>
      </c>
      <c r="B61" s="21"/>
      <c r="C61" s="21"/>
      <c r="D61" s="21"/>
      <c r="E61" s="21"/>
      <c r="F61" s="21"/>
      <c r="G61" s="21"/>
    </row>
    <row r="62" spans="1:7" x14ac:dyDescent="0.3">
      <c r="A62" s="1" t="s">
        <v>1</v>
      </c>
      <c r="B62" s="1" t="s">
        <v>2</v>
      </c>
      <c r="C62" s="1" t="s">
        <v>3</v>
      </c>
      <c r="D62" s="1" t="s">
        <v>4</v>
      </c>
      <c r="E62" s="1" t="s">
        <v>13</v>
      </c>
      <c r="F62" s="1" t="s">
        <v>12</v>
      </c>
      <c r="G62" s="1" t="s">
        <v>5</v>
      </c>
    </row>
    <row r="63" spans="1:7" x14ac:dyDescent="0.3">
      <c r="A63" s="2">
        <v>1</v>
      </c>
      <c r="B63" s="3">
        <v>166.7</v>
      </c>
      <c r="C63" s="3">
        <v>165</v>
      </c>
      <c r="D63" s="10">
        <f>ABS(B63-C63)</f>
        <v>1.6999999999999886</v>
      </c>
      <c r="E63" s="12">
        <f>ABS(B63-C63)/C63</f>
        <v>1.0303030303030234E-2</v>
      </c>
      <c r="F63" s="11">
        <f>B63-C63</f>
        <v>1.6999999999999886</v>
      </c>
      <c r="G63" s="2">
        <v>1.22</v>
      </c>
    </row>
    <row r="64" spans="1:7" x14ac:dyDescent="0.3">
      <c r="A64" s="2">
        <v>2</v>
      </c>
      <c r="B64" s="3">
        <v>173</v>
      </c>
      <c r="C64" s="3">
        <v>158</v>
      </c>
      <c r="D64" s="10">
        <f t="shared" ref="D64:D72" si="12">ABS(B64-C64)</f>
        <v>15</v>
      </c>
      <c r="E64" s="12">
        <f t="shared" ref="E64:E72" si="13">ABS(B64-C64)/C64</f>
        <v>9.49367088607595E-2</v>
      </c>
      <c r="F64" s="11">
        <f t="shared" ref="F64:F72" si="14">B64-C64</f>
        <v>15</v>
      </c>
      <c r="G64" s="2">
        <v>1.19</v>
      </c>
    </row>
    <row r="65" spans="1:7" x14ac:dyDescent="0.3">
      <c r="A65" s="2">
        <v>3</v>
      </c>
      <c r="B65" s="3">
        <v>165</v>
      </c>
      <c r="C65" s="3">
        <v>174</v>
      </c>
      <c r="D65" s="10">
        <f t="shared" si="12"/>
        <v>9</v>
      </c>
      <c r="E65" s="12">
        <f t="shared" si="13"/>
        <v>5.1724137931034482E-2</v>
      </c>
      <c r="F65" s="11">
        <f t="shared" si="14"/>
        <v>-9</v>
      </c>
      <c r="G65" s="2">
        <v>1.23</v>
      </c>
    </row>
    <row r="66" spans="1:7" x14ac:dyDescent="0.3">
      <c r="A66" s="2">
        <v>4</v>
      </c>
      <c r="B66" s="3">
        <v>171</v>
      </c>
      <c r="C66" s="3">
        <v>163</v>
      </c>
      <c r="D66" s="10">
        <f t="shared" si="12"/>
        <v>8</v>
      </c>
      <c r="E66" s="12">
        <f t="shared" si="13"/>
        <v>4.9079754601226995E-2</v>
      </c>
      <c r="F66" s="11">
        <f t="shared" si="14"/>
        <v>8</v>
      </c>
      <c r="G66" s="2">
        <v>1.3</v>
      </c>
    </row>
    <row r="67" spans="1:7" x14ac:dyDescent="0.3">
      <c r="A67" s="2">
        <v>5</v>
      </c>
      <c r="B67" s="3">
        <v>152.6</v>
      </c>
      <c r="C67" s="3">
        <v>157</v>
      </c>
      <c r="D67" s="10">
        <f t="shared" si="12"/>
        <v>4.4000000000000057</v>
      </c>
      <c r="E67" s="12">
        <f t="shared" si="13"/>
        <v>2.8025477707006405E-2</v>
      </c>
      <c r="F67" s="11">
        <f t="shared" si="14"/>
        <v>-4.4000000000000057</v>
      </c>
      <c r="G67" s="2">
        <v>1.35</v>
      </c>
    </row>
    <row r="68" spans="1:7" x14ac:dyDescent="0.3">
      <c r="A68" s="2">
        <v>6</v>
      </c>
      <c r="B68" s="3">
        <v>164.8</v>
      </c>
      <c r="C68" s="3">
        <v>172</v>
      </c>
      <c r="D68" s="10">
        <f t="shared" si="12"/>
        <v>7.1999999999999886</v>
      </c>
      <c r="E68" s="12">
        <f t="shared" si="13"/>
        <v>4.1860465116279007E-2</v>
      </c>
      <c r="F68" s="11">
        <f t="shared" si="14"/>
        <v>-7.1999999999999886</v>
      </c>
      <c r="G68" s="2">
        <v>1.43</v>
      </c>
    </row>
    <row r="69" spans="1:7" x14ac:dyDescent="0.3">
      <c r="A69" s="2">
        <v>7</v>
      </c>
      <c r="B69" s="3">
        <v>165.7</v>
      </c>
      <c r="C69" s="3">
        <v>149</v>
      </c>
      <c r="D69" s="10">
        <f t="shared" si="12"/>
        <v>16.699999999999989</v>
      </c>
      <c r="E69" s="12">
        <f t="shared" si="13"/>
        <v>0.1120805369127516</v>
      </c>
      <c r="F69" s="11">
        <f t="shared" si="14"/>
        <v>16.699999999999989</v>
      </c>
      <c r="G69" s="2">
        <v>1.3</v>
      </c>
    </row>
    <row r="70" spans="1:7" x14ac:dyDescent="0.3">
      <c r="A70" s="2">
        <v>8</v>
      </c>
      <c r="B70" s="3">
        <v>155.80000000000001</v>
      </c>
      <c r="C70" s="3">
        <v>166</v>
      </c>
      <c r="D70" s="10">
        <f t="shared" si="12"/>
        <v>10.199999999999989</v>
      </c>
      <c r="E70" s="12">
        <f t="shared" si="13"/>
        <v>6.1445783132530053E-2</v>
      </c>
      <c r="F70" s="11">
        <f t="shared" si="14"/>
        <v>-10.199999999999989</v>
      </c>
      <c r="G70" s="2">
        <v>1.24</v>
      </c>
    </row>
    <row r="71" spans="1:7" x14ac:dyDescent="0.3">
      <c r="A71" s="2">
        <v>9</v>
      </c>
      <c r="B71" s="3">
        <v>167.7</v>
      </c>
      <c r="C71" s="3">
        <v>174</v>
      </c>
      <c r="D71" s="10">
        <f t="shared" si="12"/>
        <v>6.3000000000000114</v>
      </c>
      <c r="E71" s="12">
        <f t="shared" si="13"/>
        <v>3.6206896551724203E-2</v>
      </c>
      <c r="F71" s="11">
        <f t="shared" si="14"/>
        <v>-6.3000000000000114</v>
      </c>
      <c r="G71" s="2">
        <v>1.34</v>
      </c>
    </row>
    <row r="72" spans="1:7" x14ac:dyDescent="0.3">
      <c r="A72" s="2">
        <v>10</v>
      </c>
      <c r="B72" s="3">
        <v>161.19999999999999</v>
      </c>
      <c r="C72" s="3">
        <v>172</v>
      </c>
      <c r="D72" s="10">
        <f t="shared" si="12"/>
        <v>10.800000000000011</v>
      </c>
      <c r="E72" s="12">
        <f t="shared" si="13"/>
        <v>6.2790697674418666E-2</v>
      </c>
      <c r="F72" s="11">
        <f t="shared" si="14"/>
        <v>-10.800000000000011</v>
      </c>
      <c r="G72" s="2">
        <v>1.34</v>
      </c>
    </row>
    <row r="73" spans="1:7" x14ac:dyDescent="0.3">
      <c r="A73" s="6"/>
      <c r="B73" s="6"/>
      <c r="C73" s="6"/>
      <c r="D73" s="8" t="str">
        <f>ROUND(AVERAGE(D63:D72),3)&amp; "±" &amp;ROUND(_xlfn.STDEV.S(D63:D72),2)</f>
        <v>8.93±4.54</v>
      </c>
      <c r="E73" s="13" t="str">
        <f>TEXT(AVERAGE(E63:E72),"0.00%") &amp; "±" &amp; TEXT(_xlfn.STDEV.S(E63:E72),"0.00%")</f>
        <v>5.48%±3.03%</v>
      </c>
      <c r="F73" s="8" t="str">
        <f>ROUND(AVERAGE(F63:F72),3)&amp; "±" &amp;ROUND(_xlfn.STDEV.S(F63:F72),2)</f>
        <v>-0.65±10.43</v>
      </c>
      <c r="G73" s="8" t="str">
        <f>ROUND(AVERAGE(G63:G72),3)&amp; "±" &amp;ROUND(_xlfn.STDEV.S(G63:G72),2)</f>
        <v>1.294±0.07</v>
      </c>
    </row>
    <row r="75" spans="1:7" x14ac:dyDescent="0.3">
      <c r="A75" s="21" t="s">
        <v>10</v>
      </c>
      <c r="B75" s="21"/>
      <c r="C75" s="21"/>
      <c r="D75" s="21"/>
      <c r="E75" s="21"/>
      <c r="F75" s="21"/>
      <c r="G75" s="21"/>
    </row>
    <row r="76" spans="1:7" x14ac:dyDescent="0.3">
      <c r="A76" s="1" t="s">
        <v>1</v>
      </c>
      <c r="B76" s="1" t="s">
        <v>2</v>
      </c>
      <c r="C76" s="1" t="s">
        <v>3</v>
      </c>
      <c r="D76" s="1" t="s">
        <v>4</v>
      </c>
      <c r="E76" s="1" t="s">
        <v>13</v>
      </c>
      <c r="F76" s="1" t="s">
        <v>12</v>
      </c>
      <c r="G76" s="1" t="s">
        <v>5</v>
      </c>
    </row>
    <row r="77" spans="1:7" x14ac:dyDescent="0.3">
      <c r="A77" s="2">
        <v>1</v>
      </c>
      <c r="B77" s="3">
        <v>153.97</v>
      </c>
      <c r="C77" s="3">
        <v>157</v>
      </c>
      <c r="D77" s="10">
        <f>ABS(B77-C77)</f>
        <v>3.0300000000000011</v>
      </c>
      <c r="E77" s="12">
        <f>ABS(B77-C77)/C77</f>
        <v>1.929936305732485E-2</v>
      </c>
      <c r="F77" s="11">
        <f>B77-C77</f>
        <v>-3.0300000000000011</v>
      </c>
      <c r="G77" s="2">
        <v>1.29</v>
      </c>
    </row>
    <row r="78" spans="1:7" x14ac:dyDescent="0.3">
      <c r="A78" s="2">
        <v>2</v>
      </c>
      <c r="B78" s="3">
        <v>166.05</v>
      </c>
      <c r="C78" s="3">
        <v>161</v>
      </c>
      <c r="D78" s="10">
        <f t="shared" ref="D78:D86" si="15">ABS(B78-C78)</f>
        <v>5.0500000000000114</v>
      </c>
      <c r="E78" s="12">
        <f t="shared" ref="E78:E86" si="16">ABS(B78-C78)/C78</f>
        <v>3.1366459627329264E-2</v>
      </c>
      <c r="F78" s="11">
        <f t="shared" ref="F78:F86" si="17">B78-C78</f>
        <v>5.0500000000000114</v>
      </c>
      <c r="G78" s="2">
        <v>1.74</v>
      </c>
    </row>
    <row r="79" spans="1:7" x14ac:dyDescent="0.3">
      <c r="A79" s="2">
        <v>3</v>
      </c>
      <c r="B79" s="3">
        <v>147.43</v>
      </c>
      <c r="C79" s="3">
        <v>154</v>
      </c>
      <c r="D79" s="10">
        <f t="shared" si="15"/>
        <v>6.5699999999999932</v>
      </c>
      <c r="E79" s="12">
        <f t="shared" si="16"/>
        <v>4.2662337662337617E-2</v>
      </c>
      <c r="F79" s="11">
        <f t="shared" si="17"/>
        <v>-6.5699999999999932</v>
      </c>
      <c r="G79" s="2">
        <v>1.47</v>
      </c>
    </row>
    <row r="80" spans="1:7" x14ac:dyDescent="0.3">
      <c r="A80" s="2">
        <v>4</v>
      </c>
      <c r="B80" s="3">
        <v>158.35</v>
      </c>
      <c r="C80" s="3">
        <v>154</v>
      </c>
      <c r="D80" s="10">
        <f t="shared" si="15"/>
        <v>4.3499999999999943</v>
      </c>
      <c r="E80" s="12">
        <f t="shared" si="16"/>
        <v>2.8246753246753211E-2</v>
      </c>
      <c r="F80" s="11">
        <f t="shared" si="17"/>
        <v>4.3499999999999943</v>
      </c>
      <c r="G80" s="2">
        <v>1.44</v>
      </c>
    </row>
    <row r="81" spans="1:7" x14ac:dyDescent="0.3">
      <c r="A81" s="2">
        <v>5</v>
      </c>
      <c r="B81" s="3">
        <v>157.46</v>
      </c>
      <c r="C81" s="3">
        <v>160</v>
      </c>
      <c r="D81" s="10">
        <f t="shared" si="15"/>
        <v>2.539999999999992</v>
      </c>
      <c r="E81" s="12">
        <f t="shared" si="16"/>
        <v>1.5874999999999952E-2</v>
      </c>
      <c r="F81" s="11">
        <f t="shared" si="17"/>
        <v>-2.539999999999992</v>
      </c>
      <c r="G81" s="2">
        <v>1.53</v>
      </c>
    </row>
    <row r="82" spans="1:7" x14ac:dyDescent="0.3">
      <c r="A82" s="2">
        <v>6</v>
      </c>
      <c r="B82" s="3">
        <v>197.59</v>
      </c>
      <c r="C82" s="3">
        <v>156</v>
      </c>
      <c r="D82" s="10">
        <f t="shared" si="15"/>
        <v>41.59</v>
      </c>
      <c r="E82" s="12">
        <f t="shared" si="16"/>
        <v>0.26660256410256411</v>
      </c>
      <c r="F82" s="11">
        <f t="shared" si="17"/>
        <v>41.59</v>
      </c>
      <c r="G82" s="2">
        <v>1.37</v>
      </c>
    </row>
    <row r="83" spans="1:7" x14ac:dyDescent="0.3">
      <c r="A83" s="2">
        <v>7</v>
      </c>
      <c r="B83" s="3">
        <v>141.22</v>
      </c>
      <c r="C83" s="3">
        <v>153</v>
      </c>
      <c r="D83" s="10">
        <f t="shared" si="15"/>
        <v>11.780000000000001</v>
      </c>
      <c r="E83" s="12">
        <f t="shared" si="16"/>
        <v>7.6993464052287588E-2</v>
      </c>
      <c r="F83" s="11">
        <f t="shared" si="17"/>
        <v>-11.780000000000001</v>
      </c>
      <c r="G83" s="2">
        <v>1.66</v>
      </c>
    </row>
    <row r="84" spans="1:7" x14ac:dyDescent="0.3">
      <c r="A84" s="2">
        <v>8</v>
      </c>
      <c r="B84" s="3">
        <v>146.52000000000001</v>
      </c>
      <c r="C84" s="3">
        <v>160</v>
      </c>
      <c r="D84" s="10">
        <f t="shared" si="15"/>
        <v>13.47999999999999</v>
      </c>
      <c r="E84" s="12">
        <f t="shared" si="16"/>
        <v>8.4249999999999936E-2</v>
      </c>
      <c r="F84" s="11">
        <f t="shared" si="17"/>
        <v>-13.47999999999999</v>
      </c>
      <c r="G84" s="2">
        <v>1.49</v>
      </c>
    </row>
    <row r="85" spans="1:7" x14ac:dyDescent="0.3">
      <c r="A85" s="2">
        <v>9</v>
      </c>
      <c r="B85" s="3">
        <v>174.15</v>
      </c>
      <c r="C85" s="3">
        <v>166</v>
      </c>
      <c r="D85" s="10">
        <f t="shared" si="15"/>
        <v>8.1500000000000057</v>
      </c>
      <c r="E85" s="12">
        <f t="shared" si="16"/>
        <v>4.9096385542168712E-2</v>
      </c>
      <c r="F85" s="11">
        <f t="shared" si="17"/>
        <v>8.1500000000000057</v>
      </c>
      <c r="G85" s="2">
        <v>1.67</v>
      </c>
    </row>
    <row r="86" spans="1:7" x14ac:dyDescent="0.3">
      <c r="A86" s="2">
        <v>10</v>
      </c>
      <c r="B86" s="3">
        <v>163.68</v>
      </c>
      <c r="C86" s="3">
        <v>156</v>
      </c>
      <c r="D86" s="10">
        <f t="shared" si="15"/>
        <v>7.6800000000000068</v>
      </c>
      <c r="E86" s="12">
        <f t="shared" si="16"/>
        <v>4.9230769230769272E-2</v>
      </c>
      <c r="F86" s="11">
        <f t="shared" si="17"/>
        <v>7.6800000000000068</v>
      </c>
      <c r="G86" s="2">
        <v>1.54</v>
      </c>
    </row>
    <row r="87" spans="1:7" x14ac:dyDescent="0.3">
      <c r="A87" s="6"/>
      <c r="B87" s="6"/>
      <c r="C87" s="6"/>
      <c r="D87" s="8" t="str">
        <f>ROUND(AVERAGE(D77:D86),3)&amp; "±" &amp;ROUND(_xlfn.STDEV.S(D77:D86),2)</f>
        <v>10.422±11.51</v>
      </c>
      <c r="E87" s="13" t="str">
        <f>TEXT(AVERAGE(E77:E86),"0.00%") &amp; "±" &amp; TEXT(_xlfn.STDEV.S(E77:E86),"0.00%")</f>
        <v>6.64%±7.39%</v>
      </c>
      <c r="F87" s="8" t="str">
        <f>ROUND(AVERAGE(F77:F86),3)&amp; "±" &amp;ROUND(_xlfn.STDEV.S(F77:F86),2)</f>
        <v>2.942±15.61</v>
      </c>
      <c r="G87" s="8" t="str">
        <f>ROUND(AVERAGE(G77:G86),3)&amp; "±" &amp;ROUND(_xlfn.STDEV.S(G77:G86),2)</f>
        <v>1.52±0.14</v>
      </c>
    </row>
  </sheetData>
  <mergeCells count="13">
    <mergeCell ref="C3:D3"/>
    <mergeCell ref="A3:B3"/>
    <mergeCell ref="A1:F1"/>
    <mergeCell ref="A75:G75"/>
    <mergeCell ref="A5:G5"/>
    <mergeCell ref="A19:G19"/>
    <mergeCell ref="A33:G33"/>
    <mergeCell ref="A47:G47"/>
    <mergeCell ref="A61:G61"/>
    <mergeCell ref="A2:B2"/>
    <mergeCell ref="C2:D2"/>
    <mergeCell ref="E2:F2"/>
    <mergeCell ref="E3:F3"/>
  </mergeCells>
  <phoneticPr fontId="1" type="noConversion"/>
  <pageMargins left="0.7" right="0.7" top="0.75" bottom="0.75" header="0.3" footer="0.3"/>
  <ignoredErrors>
    <ignoredError sqref="E87 E73 E59 E45 E31 E1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2026-01-01T04:24:45Z</dcterms:created>
  <dcterms:modified xsi:type="dcterms:W3CDTF">2026-01-02T07:43:18Z</dcterms:modified>
</cp:coreProperties>
</file>